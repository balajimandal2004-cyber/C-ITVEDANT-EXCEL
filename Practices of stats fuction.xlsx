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BB18593C-257B-402A-B33D-7D9D7C90604D}" xr6:coauthVersionLast="47" xr6:coauthVersionMax="47" xr10:uidLastSave="{00000000-0000-0000-0000-000000000000}"/>
  <bookViews>
    <workbookView xWindow="-108" yWindow="-108" windowWidth="23256" windowHeight="12456" activeTab="1" xr2:uid="{F254D58F-9695-4636-8564-7970BCA47868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3" l="1"/>
  <c r="E8" i="3"/>
  <c r="E7" i="3"/>
  <c r="F7" i="3"/>
  <c r="C3" i="3"/>
  <c r="C4" i="3"/>
  <c r="C5" i="3"/>
  <c r="C6" i="3"/>
  <c r="C7" i="3"/>
  <c r="C8" i="3"/>
  <c r="C9" i="3"/>
  <c r="C10" i="3"/>
  <c r="C11" i="3"/>
  <c r="C12" i="3"/>
  <c r="C13" i="3"/>
  <c r="C2" i="3"/>
  <c r="B4" i="3"/>
  <c r="B5" i="3"/>
  <c r="B6" i="3"/>
  <c r="B7" i="3"/>
  <c r="B8" i="3"/>
  <c r="B9" i="3"/>
  <c r="B10" i="3"/>
  <c r="B11" i="3"/>
  <c r="B12" i="3"/>
  <c r="B13" i="3"/>
  <c r="B2" i="3"/>
  <c r="K4" i="3"/>
  <c r="B3" i="3" s="1"/>
  <c r="F5" i="3"/>
  <c r="F3" i="3"/>
  <c r="F4" i="3"/>
  <c r="I4" i="3"/>
  <c r="I3" i="3"/>
  <c r="E3" i="3" s="1"/>
  <c r="M4" i="1"/>
  <c r="M5" i="1"/>
  <c r="M6" i="1"/>
  <c r="M7" i="1"/>
  <c r="M8" i="1"/>
  <c r="M9" i="1"/>
  <c r="M10" i="1"/>
  <c r="M11" i="1"/>
  <c r="M12" i="1"/>
  <c r="M3" i="1"/>
  <c r="N3" i="1" s="1"/>
  <c r="O3" i="1" s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D21" i="1"/>
  <c r="N4" i="1"/>
  <c r="O4" i="1" s="1"/>
  <c r="N5" i="1"/>
  <c r="O5" i="1" s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J4" i="1"/>
  <c r="N6" i="1" l="1"/>
  <c r="O6" i="1" s="1"/>
  <c r="N12" i="1"/>
  <c r="O12" i="1" s="1"/>
  <c r="N11" i="1"/>
  <c r="O11" i="1" s="1"/>
  <c r="N10" i="1"/>
  <c r="O10" i="1" s="1"/>
  <c r="D20" i="1" s="1"/>
  <c r="N9" i="1"/>
  <c r="O9" i="1" s="1"/>
  <c r="N8" i="1"/>
  <c r="O8" i="1" s="1"/>
  <c r="N7" i="1"/>
  <c r="O7" i="1" s="1"/>
  <c r="D18" i="1"/>
  <c r="O13" i="1"/>
  <c r="J3" i="1"/>
  <c r="J5" i="1"/>
  <c r="J7" i="1"/>
  <c r="J12" i="1"/>
  <c r="J11" i="1"/>
  <c r="J10" i="1"/>
  <c r="J9" i="1"/>
  <c r="J8" i="1"/>
  <c r="J6" i="1"/>
  <c r="D19" i="1" l="1"/>
</calcChain>
</file>

<file path=xl/sharedStrings.xml><?xml version="1.0" encoding="utf-8"?>
<sst xmlns="http://schemas.openxmlformats.org/spreadsheetml/2006/main" count="71" uniqueCount="61">
  <si>
    <t>Employee ID</t>
  </si>
  <si>
    <t>Employee Name</t>
  </si>
  <si>
    <t xml:space="preserve">Department </t>
  </si>
  <si>
    <t>Basic Salary</t>
  </si>
  <si>
    <t>Employee Details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</si>
  <si>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</si>
  <si>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</si>
  <si>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</si>
  <si>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</si>
  <si>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</si>
  <si>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</si>
  <si>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</si>
  <si>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</si>
  <si>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</si>
  <si>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</si>
  <si>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Arun</t>
  </si>
  <si>
    <t>Priya</t>
  </si>
  <si>
    <t>Ravi</t>
  </si>
  <si>
    <t>Meena</t>
  </si>
  <si>
    <t>Kiran</t>
  </si>
  <si>
    <t>Divya</t>
  </si>
  <si>
    <t>Suresh</t>
  </si>
  <si>
    <t>Anitha</t>
  </si>
  <si>
    <t>Manoj</t>
  </si>
  <si>
    <t>Kavya</t>
  </si>
  <si>
    <t>Sales</t>
  </si>
  <si>
    <t>HR</t>
  </si>
  <si>
    <t>Accounts</t>
  </si>
  <si>
    <t>IT</t>
  </si>
  <si>
    <t>HRA</t>
  </si>
  <si>
    <t>DA</t>
  </si>
  <si>
    <t>Conveyance Allowance</t>
  </si>
  <si>
    <t>Medical Allowance</t>
  </si>
  <si>
    <t>PF Deducation</t>
  </si>
  <si>
    <t>Profession Tax</t>
  </si>
  <si>
    <t>Income Tax</t>
  </si>
  <si>
    <t>Net Salary</t>
  </si>
  <si>
    <t>CA</t>
  </si>
  <si>
    <t>MA</t>
  </si>
  <si>
    <t>PF</t>
  </si>
  <si>
    <t>PT</t>
  </si>
  <si>
    <t>Gross Profit</t>
  </si>
  <si>
    <t>Total decation</t>
  </si>
  <si>
    <t>Max</t>
  </si>
  <si>
    <t>Min</t>
  </si>
  <si>
    <t>Avg</t>
  </si>
  <si>
    <t xml:space="preserve">Total </t>
  </si>
  <si>
    <t>count</t>
  </si>
  <si>
    <t>median</t>
  </si>
  <si>
    <t>mode</t>
  </si>
  <si>
    <t>variance</t>
  </si>
  <si>
    <t>standard devation</t>
  </si>
  <si>
    <t>range</t>
  </si>
  <si>
    <t>formula</t>
  </si>
  <si>
    <t>function</t>
  </si>
  <si>
    <t>total age</t>
  </si>
  <si>
    <t>total couunt</t>
  </si>
  <si>
    <t>mean(avg)</t>
  </si>
  <si>
    <t>devation</t>
  </si>
  <si>
    <t>sque devation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</si>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</sst>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center"/>
    </xf>
    <xf numFmtId="9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6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4324-56A1-4521-B35C-B461A36D6957}">
  <dimension ref="B1:R27"/>
  <sheetViews>
    <sheetView workbookViewId="0">
      <selection activeCell="J16" sqref="J16"/>
    </sheetView>
  </sheetViews>
  <sheetFormatPr defaultRowHeight="14.4" x14ac:dyDescent="0.3"/>
  <cols>
    <col min="2" max="2" width="11.21875" bestFit="1" customWidth="1"/>
    <col min="3" max="3" width="14.44140625" bestFit="1" customWidth="1"/>
    <col min="4" max="4" width="12.77734375" bestFit="1" customWidth="1"/>
    <col min="5" max="5" width="12.33203125" bestFit="1" customWidth="1"/>
    <col min="6" max="6" width="10.5546875" bestFit="1" customWidth="1"/>
    <col min="7" max="7" width="10.33203125" bestFit="1" customWidth="1"/>
    <col min="8" max="8" width="10.88671875" customWidth="1"/>
    <col min="9" max="9" width="10.33203125" bestFit="1" customWidth="1"/>
    <col min="10" max="10" width="11.33203125" bestFit="1" customWidth="1"/>
    <col min="11" max="11" width="12.77734375" customWidth="1"/>
    <col min="12" max="12" width="12.88671875" bestFit="1" customWidth="1"/>
    <col min="13" max="13" width="10.44140625" bestFit="1" customWidth="1"/>
    <col min="14" max="15" width="12.77734375" bestFit="1" customWidth="1"/>
  </cols>
  <sheetData>
    <row r="1" spans="2:18" ht="18" x14ac:dyDescent="0.35">
      <c r="B1" s="13" t="s">
        <v>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2:18" s="7" customFormat="1" ht="37.799999999999997" customHeight="1" x14ac:dyDescent="0.3">
      <c r="B2" s="4" t="s">
        <v>0</v>
      </c>
      <c r="C2" s="4" t="s">
        <v>1</v>
      </c>
      <c r="D2" s="4" t="s">
        <v>2</v>
      </c>
      <c r="E2" s="4" t="s">
        <v>3</v>
      </c>
      <c r="F2" s="5" t="s">
        <v>29</v>
      </c>
      <c r="G2" s="5" t="s">
        <v>30</v>
      </c>
      <c r="H2" s="6" t="s">
        <v>31</v>
      </c>
      <c r="I2" s="6" t="s">
        <v>32</v>
      </c>
      <c r="J2" s="6" t="s">
        <v>41</v>
      </c>
      <c r="K2" s="5" t="s">
        <v>33</v>
      </c>
      <c r="L2" s="5" t="s">
        <v>34</v>
      </c>
      <c r="M2" s="5" t="s">
        <v>35</v>
      </c>
      <c r="N2" s="5" t="s">
        <v>42</v>
      </c>
      <c r="O2" s="8" t="s">
        <v>36</v>
      </c>
      <c r="Q2" s="9" t="s">
        <v>29</v>
      </c>
      <c r="R2" s="10">
        <v>0.2</v>
      </c>
    </row>
    <row r="3" spans="2:18" x14ac:dyDescent="0.3">
      <c r="B3" s="3" t="s">
        <v>5</v>
      </c>
      <c r="C3" s="3" t="s">
        <v>15</v>
      </c>
      <c r="D3" s="3" t="s">
        <v>25</v>
      </c>
      <c r="E3" s="11">
        <v>25000</v>
      </c>
      <c r="F3" s="11">
        <f>E3*20%</f>
        <v>5000</v>
      </c>
      <c r="G3" s="11">
        <f>E3*10%</f>
        <v>2500</v>
      </c>
      <c r="H3" s="11">
        <f>E3*5%</f>
        <v>1250</v>
      </c>
      <c r="I3" s="11">
        <f>E3*3%</f>
        <v>750</v>
      </c>
      <c r="J3" s="11">
        <f>SUM(E3:I3)</f>
        <v>34500</v>
      </c>
      <c r="K3" s="11">
        <f>E3*12%</f>
        <v>3000</v>
      </c>
      <c r="L3" s="11">
        <f>E3*2%</f>
        <v>500</v>
      </c>
      <c r="M3" s="11">
        <f>E3*5%</f>
        <v>1250</v>
      </c>
      <c r="N3" s="11">
        <f>SUM(K3:M3)</f>
        <v>4750</v>
      </c>
      <c r="O3" s="12">
        <f>J3-N3</f>
        <v>29750</v>
      </c>
      <c r="Q3" s="9" t="s">
        <v>30</v>
      </c>
      <c r="R3" s="10">
        <v>0.1</v>
      </c>
    </row>
    <row r="4" spans="2:18" x14ac:dyDescent="0.3">
      <c r="B4" s="3" t="s">
        <v>6</v>
      </c>
      <c r="C4" s="3" t="s">
        <v>16</v>
      </c>
      <c r="D4" s="3" t="s">
        <v>26</v>
      </c>
      <c r="E4" s="11">
        <v>32000</v>
      </c>
      <c r="F4" s="11">
        <f t="shared" ref="F4:F12" si="0">E4*20%</f>
        <v>6400</v>
      </c>
      <c r="G4" s="11">
        <f t="shared" ref="G4:G12" si="1">E4*10%</f>
        <v>3200</v>
      </c>
      <c r="H4" s="11">
        <f t="shared" ref="H4:H12" si="2">E4*5%</f>
        <v>1600</v>
      </c>
      <c r="I4" s="11">
        <f t="shared" ref="I4:I12" si="3">E4*3%</f>
        <v>960</v>
      </c>
      <c r="J4" s="11">
        <f t="shared" ref="J4:J12" si="4">SUM(E4:I4)</f>
        <v>44160</v>
      </c>
      <c r="K4" s="11">
        <f t="shared" ref="K4:K12" si="5">E4*12%</f>
        <v>3840</v>
      </c>
      <c r="L4" s="11">
        <f t="shared" ref="L4:L12" si="6">E4*2%</f>
        <v>640</v>
      </c>
      <c r="M4" s="11">
        <f t="shared" ref="M4:M12" si="7">E4*5%</f>
        <v>1600</v>
      </c>
      <c r="N4" s="11">
        <f t="shared" ref="N4:N12" si="8">SUM(K4:M4)</f>
        <v>6080</v>
      </c>
      <c r="O4" s="12">
        <f t="shared" ref="O4:O12" si="9">J4-N4</f>
        <v>38080</v>
      </c>
      <c r="Q4" s="9" t="s">
        <v>37</v>
      </c>
      <c r="R4" s="10">
        <v>0.05</v>
      </c>
    </row>
    <row r="5" spans="2:18" x14ac:dyDescent="0.3">
      <c r="B5" s="3" t="s">
        <v>7</v>
      </c>
      <c r="C5" s="3" t="s">
        <v>17</v>
      </c>
      <c r="D5" s="3" t="s">
        <v>27</v>
      </c>
      <c r="E5" s="11">
        <v>28000</v>
      </c>
      <c r="F5" s="11">
        <f t="shared" si="0"/>
        <v>5600</v>
      </c>
      <c r="G5" s="11">
        <f t="shared" si="1"/>
        <v>2800</v>
      </c>
      <c r="H5" s="11">
        <f t="shared" si="2"/>
        <v>1400</v>
      </c>
      <c r="I5" s="11">
        <f t="shared" si="3"/>
        <v>840</v>
      </c>
      <c r="J5" s="11">
        <f t="shared" si="4"/>
        <v>38640</v>
      </c>
      <c r="K5" s="11">
        <f t="shared" si="5"/>
        <v>3360</v>
      </c>
      <c r="L5" s="11">
        <f t="shared" si="6"/>
        <v>560</v>
      </c>
      <c r="M5" s="11">
        <f t="shared" si="7"/>
        <v>1400</v>
      </c>
      <c r="N5" s="11">
        <f t="shared" si="8"/>
        <v>5320</v>
      </c>
      <c r="O5" s="12">
        <f t="shared" si="9"/>
        <v>33320</v>
      </c>
      <c r="Q5" s="9" t="s">
        <v>38</v>
      </c>
      <c r="R5" s="10">
        <v>0.03</v>
      </c>
    </row>
    <row r="6" spans="2:18" x14ac:dyDescent="0.3">
      <c r="B6" s="3" t="s">
        <v>8</v>
      </c>
      <c r="C6" s="3" t="s">
        <v>18</v>
      </c>
      <c r="D6" s="3" t="s">
        <v>28</v>
      </c>
      <c r="E6" s="11">
        <v>40000</v>
      </c>
      <c r="F6" s="11">
        <f t="shared" si="0"/>
        <v>8000</v>
      </c>
      <c r="G6" s="11">
        <f t="shared" si="1"/>
        <v>4000</v>
      </c>
      <c r="H6" s="11">
        <f t="shared" si="2"/>
        <v>2000</v>
      </c>
      <c r="I6" s="11">
        <f t="shared" si="3"/>
        <v>1200</v>
      </c>
      <c r="J6" s="11">
        <f t="shared" si="4"/>
        <v>55200</v>
      </c>
      <c r="K6" s="11">
        <f t="shared" si="5"/>
        <v>4800</v>
      </c>
      <c r="L6" s="11">
        <f t="shared" si="6"/>
        <v>800</v>
      </c>
      <c r="M6" s="11">
        <f t="shared" si="7"/>
        <v>2000</v>
      </c>
      <c r="N6" s="11">
        <f t="shared" si="8"/>
        <v>7600</v>
      </c>
      <c r="O6" s="12">
        <f t="shared" si="9"/>
        <v>47600</v>
      </c>
      <c r="Q6" s="9" t="s">
        <v>39</v>
      </c>
      <c r="R6" s="10">
        <v>0.12</v>
      </c>
    </row>
    <row r="7" spans="2:18" x14ac:dyDescent="0.3">
      <c r="B7" s="3" t="s">
        <v>9</v>
      </c>
      <c r="C7" s="3" t="s">
        <v>19</v>
      </c>
      <c r="D7" s="3" t="s">
        <v>25</v>
      </c>
      <c r="E7" s="11">
        <v>22000</v>
      </c>
      <c r="F7" s="11">
        <f t="shared" si="0"/>
        <v>4400</v>
      </c>
      <c r="G7" s="11">
        <f t="shared" si="1"/>
        <v>2200</v>
      </c>
      <c r="H7" s="11">
        <f t="shared" si="2"/>
        <v>1100</v>
      </c>
      <c r="I7" s="11">
        <f t="shared" si="3"/>
        <v>660</v>
      </c>
      <c r="J7" s="11">
        <f t="shared" si="4"/>
        <v>30360</v>
      </c>
      <c r="K7" s="11">
        <f t="shared" si="5"/>
        <v>2640</v>
      </c>
      <c r="L7" s="11">
        <f t="shared" si="6"/>
        <v>440</v>
      </c>
      <c r="M7" s="11">
        <f t="shared" si="7"/>
        <v>1100</v>
      </c>
      <c r="N7" s="11">
        <f t="shared" si="8"/>
        <v>4180</v>
      </c>
      <c r="O7" s="12">
        <f t="shared" si="9"/>
        <v>26180</v>
      </c>
      <c r="Q7" s="9" t="s">
        <v>40</v>
      </c>
      <c r="R7" s="10">
        <v>0.02</v>
      </c>
    </row>
    <row r="8" spans="2:18" x14ac:dyDescent="0.3">
      <c r="B8" s="3" t="s">
        <v>10</v>
      </c>
      <c r="C8" s="3" t="s">
        <v>20</v>
      </c>
      <c r="D8" s="3" t="s">
        <v>26</v>
      </c>
      <c r="E8" s="11">
        <v>35000</v>
      </c>
      <c r="F8" s="11">
        <f t="shared" si="0"/>
        <v>7000</v>
      </c>
      <c r="G8" s="11">
        <f t="shared" si="1"/>
        <v>3500</v>
      </c>
      <c r="H8" s="11">
        <f t="shared" si="2"/>
        <v>1750</v>
      </c>
      <c r="I8" s="11">
        <f t="shared" si="3"/>
        <v>1050</v>
      </c>
      <c r="J8" s="11">
        <f t="shared" si="4"/>
        <v>48300</v>
      </c>
      <c r="K8" s="11">
        <f t="shared" si="5"/>
        <v>4200</v>
      </c>
      <c r="L8" s="11">
        <f t="shared" si="6"/>
        <v>700</v>
      </c>
      <c r="M8" s="11">
        <f t="shared" si="7"/>
        <v>1750</v>
      </c>
      <c r="N8" s="11">
        <f t="shared" si="8"/>
        <v>6650</v>
      </c>
      <c r="O8" s="12">
        <f t="shared" si="9"/>
        <v>41650</v>
      </c>
      <c r="Q8" s="9" t="s">
        <v>28</v>
      </c>
      <c r="R8" s="10">
        <v>0.05</v>
      </c>
    </row>
    <row r="9" spans="2:18" x14ac:dyDescent="0.3">
      <c r="B9" s="3" t="s">
        <v>11</v>
      </c>
      <c r="C9" s="3" t="s">
        <v>21</v>
      </c>
      <c r="D9" s="3" t="s">
        <v>27</v>
      </c>
      <c r="E9" s="11">
        <v>30000</v>
      </c>
      <c r="F9" s="11">
        <f t="shared" si="0"/>
        <v>6000</v>
      </c>
      <c r="G9" s="11">
        <f t="shared" si="1"/>
        <v>3000</v>
      </c>
      <c r="H9" s="11">
        <f t="shared" si="2"/>
        <v>1500</v>
      </c>
      <c r="I9" s="11">
        <f t="shared" si="3"/>
        <v>900</v>
      </c>
      <c r="J9" s="11">
        <f t="shared" si="4"/>
        <v>41400</v>
      </c>
      <c r="K9" s="11">
        <f t="shared" si="5"/>
        <v>3600</v>
      </c>
      <c r="L9" s="11">
        <f t="shared" si="6"/>
        <v>600</v>
      </c>
      <c r="M9" s="11">
        <f t="shared" si="7"/>
        <v>1500</v>
      </c>
      <c r="N9" s="11">
        <f t="shared" si="8"/>
        <v>5700</v>
      </c>
      <c r="O9" s="12">
        <f t="shared" si="9"/>
        <v>35700</v>
      </c>
    </row>
    <row r="10" spans="2:18" x14ac:dyDescent="0.3">
      <c r="B10" s="3" t="s">
        <v>12</v>
      </c>
      <c r="C10" s="3" t="s">
        <v>22</v>
      </c>
      <c r="D10" s="3" t="s">
        <v>28</v>
      </c>
      <c r="E10" s="11">
        <v>45000</v>
      </c>
      <c r="F10" s="11">
        <f t="shared" si="0"/>
        <v>9000</v>
      </c>
      <c r="G10" s="11">
        <f t="shared" si="1"/>
        <v>4500</v>
      </c>
      <c r="H10" s="11">
        <f t="shared" si="2"/>
        <v>2250</v>
      </c>
      <c r="I10" s="11">
        <f t="shared" si="3"/>
        <v>1350</v>
      </c>
      <c r="J10" s="11">
        <f t="shared" si="4"/>
        <v>62100</v>
      </c>
      <c r="K10" s="11">
        <f t="shared" si="5"/>
        <v>5400</v>
      </c>
      <c r="L10" s="11">
        <f t="shared" si="6"/>
        <v>900</v>
      </c>
      <c r="M10" s="11">
        <f t="shared" si="7"/>
        <v>2250</v>
      </c>
      <c r="N10" s="11">
        <f t="shared" si="8"/>
        <v>8550</v>
      </c>
      <c r="O10" s="12">
        <f t="shared" si="9"/>
        <v>53550</v>
      </c>
    </row>
    <row r="11" spans="2:18" x14ac:dyDescent="0.3">
      <c r="B11" s="3" t="s">
        <v>13</v>
      </c>
      <c r="C11" s="3" t="s">
        <v>23</v>
      </c>
      <c r="D11" s="3" t="s">
        <v>25</v>
      </c>
      <c r="E11" s="11">
        <v>27000</v>
      </c>
      <c r="F11" s="11">
        <f t="shared" si="0"/>
        <v>5400</v>
      </c>
      <c r="G11" s="11">
        <f t="shared" si="1"/>
        <v>2700</v>
      </c>
      <c r="H11" s="11">
        <f t="shared" si="2"/>
        <v>1350</v>
      </c>
      <c r="I11" s="11">
        <f t="shared" si="3"/>
        <v>810</v>
      </c>
      <c r="J11" s="11">
        <f t="shared" si="4"/>
        <v>37260</v>
      </c>
      <c r="K11" s="11">
        <f t="shared" si="5"/>
        <v>3240</v>
      </c>
      <c r="L11" s="11">
        <f t="shared" si="6"/>
        <v>540</v>
      </c>
      <c r="M11" s="11">
        <f t="shared" si="7"/>
        <v>1350</v>
      </c>
      <c r="N11" s="11">
        <f t="shared" si="8"/>
        <v>5130</v>
      </c>
      <c r="O11" s="12">
        <f t="shared" si="9"/>
        <v>32130</v>
      </c>
    </row>
    <row r="12" spans="2:18" x14ac:dyDescent="0.3">
      <c r="B12" s="3" t="s">
        <v>14</v>
      </c>
      <c r="C12" s="3" t="s">
        <v>24</v>
      </c>
      <c r="D12" s="3" t="s">
        <v>26</v>
      </c>
      <c r="E12" s="11">
        <v>38000</v>
      </c>
      <c r="F12" s="11">
        <f t="shared" si="0"/>
        <v>7600</v>
      </c>
      <c r="G12" s="11">
        <f t="shared" si="1"/>
        <v>3800</v>
      </c>
      <c r="H12" s="11">
        <f t="shared" si="2"/>
        <v>1900</v>
      </c>
      <c r="I12" s="11">
        <f t="shared" si="3"/>
        <v>1140</v>
      </c>
      <c r="J12" s="11">
        <f t="shared" si="4"/>
        <v>52440</v>
      </c>
      <c r="K12" s="11">
        <f t="shared" si="5"/>
        <v>4560</v>
      </c>
      <c r="L12" s="11">
        <f t="shared" si="6"/>
        <v>760</v>
      </c>
      <c r="M12" s="11">
        <f t="shared" si="7"/>
        <v>1900</v>
      </c>
      <c r="N12" s="11">
        <f t="shared" si="8"/>
        <v>7220</v>
      </c>
      <c r="O12" s="12">
        <f t="shared" si="9"/>
        <v>45220</v>
      </c>
    </row>
    <row r="13" spans="2:18" x14ac:dyDescent="0.3">
      <c r="O13" s="1">
        <f>SUM(O3:O12)</f>
        <v>383180</v>
      </c>
    </row>
    <row r="16" spans="2:18" x14ac:dyDescent="0.3">
      <c r="C16" s="2" t="s">
        <v>36</v>
      </c>
      <c r="D16" s="2"/>
    </row>
    <row r="17" spans="3:10" x14ac:dyDescent="0.3">
      <c r="C17" s="3" t="s">
        <v>46</v>
      </c>
      <c r="D17" s="11">
        <v>383180</v>
      </c>
      <c r="F17" s="16"/>
      <c r="G17" s="17"/>
      <c r="H17" s="17"/>
      <c r="I17" s="17"/>
      <c r="J17" s="17"/>
    </row>
    <row r="18" spans="3:10" x14ac:dyDescent="0.3">
      <c r="C18" s="3" t="s">
        <v>43</v>
      </c>
      <c r="D18" s="11">
        <f>MAX(O3:O12)</f>
        <v>53550</v>
      </c>
      <c r="F18" s="18"/>
      <c r="G18" s="19"/>
      <c r="H18" s="19"/>
      <c r="I18" s="19"/>
      <c r="J18" s="20"/>
    </row>
    <row r="19" spans="3:10" x14ac:dyDescent="0.3">
      <c r="C19" s="3" t="s">
        <v>44</v>
      </c>
      <c r="D19" s="11">
        <f>MIN(O3:O12)</f>
        <v>26180</v>
      </c>
      <c r="F19" s="18"/>
      <c r="G19" s="19"/>
      <c r="H19" s="19"/>
      <c r="I19" s="19"/>
      <c r="J19" s="20"/>
    </row>
    <row r="20" spans="3:10" x14ac:dyDescent="0.3">
      <c r="C20" s="3" t="s">
        <v>45</v>
      </c>
      <c r="D20" s="11">
        <f>AVERAGE(O3:O12)</f>
        <v>38318</v>
      </c>
      <c r="F20" s="18"/>
      <c r="G20" s="19"/>
      <c r="H20" s="19"/>
      <c r="I20" s="19"/>
      <c r="J20" s="20"/>
    </row>
    <row r="21" spans="3:10" x14ac:dyDescent="0.3">
      <c r="C21" s="3" t="s">
        <v>47</v>
      </c>
      <c r="D21" s="3">
        <f>COUNTA(B3:B12)</f>
        <v>10</v>
      </c>
      <c r="F21" s="18"/>
      <c r="G21" s="19"/>
      <c r="H21" s="19"/>
      <c r="I21" s="19"/>
      <c r="J21" s="20"/>
    </row>
    <row r="22" spans="3:10" x14ac:dyDescent="0.3">
      <c r="F22" s="18"/>
      <c r="G22" s="19"/>
      <c r="H22" s="19"/>
      <c r="I22" s="19"/>
      <c r="J22" s="20"/>
    </row>
    <row r="23" spans="3:10" x14ac:dyDescent="0.3">
      <c r="F23" s="18"/>
      <c r="G23" s="19"/>
      <c r="H23" s="19"/>
      <c r="I23" s="19"/>
      <c r="J23" s="20"/>
    </row>
    <row r="24" spans="3:10" x14ac:dyDescent="0.3">
      <c r="F24" s="18"/>
      <c r="G24" s="19"/>
      <c r="H24" s="19"/>
      <c r="I24" s="19"/>
      <c r="J24" s="20"/>
    </row>
    <row r="25" spans="3:10" x14ac:dyDescent="0.3">
      <c r="F25" s="18"/>
      <c r="G25" s="19"/>
      <c r="H25" s="19"/>
      <c r="I25" s="19"/>
      <c r="J25" s="20"/>
    </row>
    <row r="26" spans="3:10" x14ac:dyDescent="0.3">
      <c r="F26" s="18"/>
      <c r="G26" s="19"/>
      <c r="H26" s="19"/>
      <c r="I26" s="19"/>
      <c r="J26" s="20"/>
    </row>
    <row r="27" spans="3:10" x14ac:dyDescent="0.3">
      <c r="F27" s="18"/>
      <c r="G27" s="19"/>
      <c r="H27" s="19"/>
      <c r="I27" s="19"/>
      <c r="J27" s="20"/>
    </row>
  </sheetData>
  <mergeCells count="2">
    <mergeCell ref="B1:O1"/>
    <mergeCell ref="C16:D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FDEF-4F28-4376-A486-284F956C05A7}">
  <dimension ref="A1:K13"/>
  <sheetViews>
    <sheetView tabSelected="1" workbookViewId="0">
      <selection activeCell="D11" sqref="D11"/>
    </sheetView>
  </sheetViews>
  <sheetFormatPr defaultRowHeight="14.4" x14ac:dyDescent="0.3"/>
  <cols>
    <col min="3" max="3" width="12.33203125" bestFit="1" customWidth="1"/>
    <col min="4" max="4" width="15.77734375" bestFit="1" customWidth="1"/>
  </cols>
  <sheetData>
    <row r="1" spans="1:11" x14ac:dyDescent="0.3">
      <c r="B1" t="s">
        <v>58</v>
      </c>
      <c r="C1" t="s">
        <v>59</v>
      </c>
    </row>
    <row r="2" spans="1:11" x14ac:dyDescent="0.3">
      <c r="A2">
        <v>11</v>
      </c>
      <c r="B2">
        <f>A2-$K$4</f>
        <v>-27.166666666666664</v>
      </c>
      <c r="C2">
        <f>ROUND(B2^2,2)</f>
        <v>738.03</v>
      </c>
      <c r="E2" t="s">
        <v>53</v>
      </c>
      <c r="F2" t="s">
        <v>54</v>
      </c>
    </row>
    <row r="3" spans="1:11" x14ac:dyDescent="0.3">
      <c r="A3">
        <v>22</v>
      </c>
      <c r="B3">
        <f t="shared" ref="B3:B13" si="0">A3-$K$4</f>
        <v>-16.166666666666664</v>
      </c>
      <c r="C3">
        <f t="shared" ref="C3:C13" si="1">ROUND(B3^2,2)</f>
        <v>261.36</v>
      </c>
      <c r="D3" t="s">
        <v>57</v>
      </c>
      <c r="E3">
        <f>I3/I4</f>
        <v>33.4</v>
      </c>
      <c r="F3">
        <f>AVERAGE(A2:A11)</f>
        <v>33.4</v>
      </c>
      <c r="H3" t="s">
        <v>55</v>
      </c>
      <c r="I3">
        <f>SUM(A2:A11)</f>
        <v>334</v>
      </c>
    </row>
    <row r="4" spans="1:11" x14ac:dyDescent="0.3">
      <c r="A4">
        <v>25</v>
      </c>
      <c r="B4">
        <f t="shared" si="0"/>
        <v>-13.166666666666664</v>
      </c>
      <c r="C4">
        <f t="shared" si="1"/>
        <v>173.36</v>
      </c>
      <c r="D4" t="s">
        <v>48</v>
      </c>
      <c r="F4">
        <f>MEDIAN(A2:A11)</f>
        <v>28.5</v>
      </c>
      <c r="H4" t="s">
        <v>56</v>
      </c>
      <c r="I4">
        <f>COUNT(A2:A11)</f>
        <v>10</v>
      </c>
      <c r="K4">
        <f>AVERAGE(A2:A13)</f>
        <v>38.166666666666664</v>
      </c>
    </row>
    <row r="5" spans="1:11" x14ac:dyDescent="0.3">
      <c r="A5">
        <v>25</v>
      </c>
      <c r="B5">
        <f t="shared" si="0"/>
        <v>-13.166666666666664</v>
      </c>
      <c r="C5">
        <f t="shared" si="1"/>
        <v>173.36</v>
      </c>
      <c r="D5" t="s">
        <v>49</v>
      </c>
      <c r="F5">
        <f>_xlfn.MODE.SNGL(A2:A13)</f>
        <v>62</v>
      </c>
    </row>
    <row r="6" spans="1:11" x14ac:dyDescent="0.3">
      <c r="A6">
        <v>26</v>
      </c>
      <c r="B6">
        <f t="shared" si="0"/>
        <v>-12.166666666666664</v>
      </c>
      <c r="C6">
        <f t="shared" si="1"/>
        <v>148.03</v>
      </c>
    </row>
    <row r="7" spans="1:11" x14ac:dyDescent="0.3">
      <c r="A7">
        <v>31</v>
      </c>
      <c r="B7">
        <f t="shared" si="0"/>
        <v>-7.1666666666666643</v>
      </c>
      <c r="C7">
        <f t="shared" si="1"/>
        <v>51.36</v>
      </c>
      <c r="D7" t="s">
        <v>50</v>
      </c>
      <c r="E7">
        <f>_xlfn.VAR.P(A2:A13)</f>
        <v>291.47222222222223</v>
      </c>
      <c r="F7">
        <f>AVERAGE(C2:C13)</f>
        <v>291.47249999999991</v>
      </c>
    </row>
    <row r="8" spans="1:11" x14ac:dyDescent="0.3">
      <c r="A8">
        <v>35</v>
      </c>
      <c r="B8">
        <f t="shared" si="0"/>
        <v>-3.1666666666666643</v>
      </c>
      <c r="C8">
        <f t="shared" si="1"/>
        <v>10.029999999999999</v>
      </c>
      <c r="D8" t="s">
        <v>51</v>
      </c>
      <c r="E8">
        <f>_xlfn.STDEV.P(A2:A13)</f>
        <v>17.072557577065666</v>
      </c>
    </row>
    <row r="9" spans="1:11" x14ac:dyDescent="0.3">
      <c r="A9">
        <v>45</v>
      </c>
      <c r="B9">
        <f t="shared" si="0"/>
        <v>6.8333333333333357</v>
      </c>
      <c r="C9">
        <f t="shared" si="1"/>
        <v>46.69</v>
      </c>
      <c r="D9" t="s">
        <v>52</v>
      </c>
    </row>
    <row r="10" spans="1:11" x14ac:dyDescent="0.3">
      <c r="A10">
        <v>52</v>
      </c>
      <c r="B10">
        <f t="shared" si="0"/>
        <v>13.833333333333336</v>
      </c>
      <c r="C10">
        <f t="shared" si="1"/>
        <v>191.36</v>
      </c>
      <c r="D10" t="s">
        <v>60</v>
      </c>
      <c r="E10">
        <f>_xlfn.QUARTILE.INC(A2:A13,2)</f>
        <v>33</v>
      </c>
    </row>
    <row r="11" spans="1:11" x14ac:dyDescent="0.3">
      <c r="A11">
        <v>62</v>
      </c>
      <c r="B11">
        <f t="shared" si="0"/>
        <v>23.833333333333336</v>
      </c>
      <c r="C11">
        <f t="shared" si="1"/>
        <v>568.03</v>
      </c>
    </row>
    <row r="12" spans="1:11" x14ac:dyDescent="0.3">
      <c r="A12">
        <v>62</v>
      </c>
      <c r="B12">
        <f t="shared" si="0"/>
        <v>23.833333333333336</v>
      </c>
      <c r="C12">
        <f t="shared" si="1"/>
        <v>568.03</v>
      </c>
    </row>
    <row r="13" spans="1:11" x14ac:dyDescent="0.3">
      <c r="A13">
        <v>62</v>
      </c>
      <c r="B13">
        <f t="shared" si="0"/>
        <v>23.833333333333336</v>
      </c>
      <c r="C13">
        <f t="shared" si="1"/>
        <v>568.03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</dc:creator>
  <cp:lastModifiedBy>Balaji</cp:lastModifiedBy>
  <dcterms:created xsi:type="dcterms:W3CDTF">2026-09-29T09:36:42Z</dcterms:created>
  <dcterms:modified xsi:type="dcterms:W3CDTF">2026-09-29T11:30:03Z</dcterms:modified>
</cp:coreProperties>
</file>